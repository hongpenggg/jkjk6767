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ions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<sst xmlns="http://schemas.openxmlformats.org/spreadsheetml/2006/main" count="24" uniqueCount="22">
  <si>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2022A</t>
  </si>
  <si>
    <t>2023E</t>
  </si>
  <si>
    <t>2024E</t>
  </si>
  <si>
    <t>2025E</t>
  </si>
  <si>
    <t>2026E</t>
  </si>
  <si>
    <t>2027E</t>
  </si>
  <si>
    <t>Item</t>
  </si>
  <si>
    <t>Revenue Growth</t>
  </si>
  <si>
    <t>Revenues</t>
  </si>
  <si>
    <t>Less: COGS</t>
  </si>
  <si>
    <t>Gross Profit</t>
  </si>
  <si>
    <t>Margin %</t>
  </si>
  <si>
    <t>Less: SG&amp;A</t>
  </si>
  <si>
    <t>EBITDA</t>
  </si>
  <si>
    <t>Less: Depreciation</t>
  </si>
  <si>
    <t>Less: Amortization</t>
  </si>
  <si>
    <t>EBIT</t>
  </si>
  <si>
    <t>Less: Interest</t>
  </si>
  <si>
    <t>Pre-Tax Income</t>
  </si>
  <si>
    <t>Less: Taxes</t>
  </si>
  <si>
    <t>Net Income</t>
  </si>
  <si>
    <t>n/a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</si>
</sst>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#,##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/>
    <xf numFmtId="165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18"/>
  <sheetViews>
    <sheetView tabSelected="1" workbookViewId="0"/>
  </sheetViews>
  <sheetFormatPr defaultRowHeight="15"/>
  <cols>
    <col min="1" max="1" width="30.7109375" customWidth="1"/>
    <col min="2" max="7" width="15.7109375" customWidth="1"/>
  </cols>
  <sheetData>
    <row r="2" spans="1:7">
      <c r="A2" s="1" t="s">
        <v>6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7">
      <c r="A3" s="1" t="s">
        <v>7</v>
      </c>
      <c r="B3" s="2" t="s">
        <v>21</v>
      </c>
      <c r="C3" s="2">
        <f>0.10</f>
        <v>0</v>
      </c>
      <c r="D3" s="2">
        <f>0.10</f>
        <v>0</v>
      </c>
      <c r="E3" s="2">
        <f>0.10</f>
        <v>0</v>
      </c>
      <c r="F3" s="2">
        <f>0.10</f>
        <v>0</v>
      </c>
      <c r="G3" s="2">
        <f>0.10</f>
        <v>0</v>
      </c>
    </row>
    <row r="4" spans="1:7">
      <c r="A4" s="1" t="s">
        <v>8</v>
      </c>
      <c r="B4" s="3">
        <v>52467</v>
      </c>
      <c r="C4" s="3">
        <f>B4*(1+C3)</f>
        <v>0</v>
      </c>
      <c r="D4" s="3">
        <f>C4*(1+D3)</f>
        <v>0</v>
      </c>
      <c r="E4" s="3">
        <f>D4*(1+E3)</f>
        <v>0</v>
      </c>
      <c r="F4" s="3">
        <f>E4*(1+F3)</f>
        <v>0</v>
      </c>
      <c r="G4" s="3">
        <f>F4*(1+G3)</f>
        <v>0</v>
      </c>
    </row>
    <row r="5" spans="1:7">
      <c r="A5" s="1" t="s">
        <v>9</v>
      </c>
      <c r="B5" s="3">
        <v>-40399.59</v>
      </c>
      <c r="C5" s="3">
        <f>-C4*0.77</f>
        <v>0</v>
      </c>
      <c r="D5" s="3">
        <f>-D4*0.7675</f>
        <v>0</v>
      </c>
      <c r="E5" s="3">
        <f>-E4*0.765</f>
        <v>0</v>
      </c>
      <c r="F5" s="3">
        <f>-F4*0.7625</f>
        <v>0</v>
      </c>
      <c r="G5" s="3">
        <f>-G4*0.76</f>
        <v>0</v>
      </c>
    </row>
    <row r="6" spans="1:7">
      <c r="A6" s="1" t="s">
        <v>10</v>
      </c>
      <c r="B6" s="4">
        <f>SUM(B4:B5)</f>
        <v>0</v>
      </c>
      <c r="C6" s="4">
        <f>SUM(C4:C5)</f>
        <v>0</v>
      </c>
      <c r="D6" s="4">
        <f>SUM(D4:D5)</f>
        <v>0</v>
      </c>
      <c r="E6" s="4">
        <f>SUM(E4:E5)</f>
        <v>0</v>
      </c>
      <c r="F6" s="4">
        <f>SUM(F4:F5)</f>
        <v>0</v>
      </c>
      <c r="G6" s="4">
        <f>SUM(G4:G5)</f>
        <v>0</v>
      </c>
    </row>
    <row r="7" spans="1:7">
      <c r="A7" s="1" t="s">
        <v>11</v>
      </c>
      <c r="B7" s="2">
        <f>B6/B4</f>
        <v>0</v>
      </c>
      <c r="C7" s="2">
        <f>C6/C4</f>
        <v>0</v>
      </c>
      <c r="D7" s="2">
        <f>D6/D4</f>
        <v>0</v>
      </c>
      <c r="E7" s="2">
        <f>E6/E4</f>
        <v>0</v>
      </c>
      <c r="F7" s="2">
        <f>F6/F4</f>
        <v>0</v>
      </c>
      <c r="G7" s="2">
        <f>G6/G4</f>
        <v>0</v>
      </c>
    </row>
    <row r="8" spans="1:7">
      <c r="A8" s="1" t="s">
        <v>12</v>
      </c>
      <c r="B8" s="3">
        <v>-8657.055</v>
      </c>
      <c r="C8" s="3">
        <f>-C4*0.165</f>
        <v>0</v>
      </c>
      <c r="D8" s="3">
        <f>-D4*0.16375</f>
        <v>0</v>
      </c>
      <c r="E8" s="3">
        <f>-E4*0.1625</f>
        <v>0</v>
      </c>
      <c r="F8" s="3">
        <f>-F4*0.16125</f>
        <v>0</v>
      </c>
      <c r="G8" s="3">
        <f>-G4*0.16</f>
        <v>0</v>
      </c>
    </row>
    <row r="9" spans="1:7">
      <c r="A9" s="1" t="s">
        <v>13</v>
      </c>
      <c r="B9" s="4">
        <f>B6+B8</f>
        <v>0</v>
      </c>
      <c r="C9" s="4">
        <f>C6+C8</f>
        <v>0</v>
      </c>
      <c r="D9" s="4">
        <f>D6+D8</f>
        <v>0</v>
      </c>
      <c r="E9" s="4">
        <f>E6+E8</f>
        <v>0</v>
      </c>
      <c r="F9" s="4">
        <f>F6+F8</f>
        <v>0</v>
      </c>
      <c r="G9" s="4">
        <f>G6+G8</f>
        <v>0</v>
      </c>
    </row>
    <row r="10" spans="1:7">
      <c r="A10" s="1" t="s">
        <v>11</v>
      </c>
      <c r="B10" s="2">
        <f>B9/B4</f>
        <v>0</v>
      </c>
      <c r="C10" s="2">
        <f>C9/C4</f>
        <v>0</v>
      </c>
      <c r="D10" s="2">
        <f>D9/D4</f>
        <v>0</v>
      </c>
      <c r="E10" s="2">
        <f>E9/E4</f>
        <v>0</v>
      </c>
      <c r="F10" s="2">
        <f>F9/F4</f>
        <v>0</v>
      </c>
      <c r="G10" s="2">
        <f>G9/G4</f>
        <v>0</v>
      </c>
    </row>
    <row r="11" spans="1:7">
      <c r="A11" s="1" t="s">
        <v>14</v>
      </c>
      <c r="B11" s="3">
        <v>-787</v>
      </c>
      <c r="C11" s="3">
        <f>-C4*0.015</f>
        <v>0</v>
      </c>
      <c r="D11" s="3">
        <f>-D4*0.015</f>
        <v>0</v>
      </c>
      <c r="E11" s="3">
        <f>-E4*0.015</f>
        <v>0</v>
      </c>
      <c r="F11" s="3">
        <f>-F4*0.015</f>
        <v>0</v>
      </c>
      <c r="G11" s="3">
        <f>-G4*0.015</f>
        <v>0</v>
      </c>
    </row>
    <row r="12" spans="1:7">
      <c r="A12" s="1" t="s">
        <v>15</v>
      </c>
      <c r="B12" s="3">
        <v>-82</v>
      </c>
      <c r="C12" s="3">
        <f>-100</f>
        <v>0</v>
      </c>
      <c r="D12" s="3">
        <f>-100</f>
        <v>0</v>
      </c>
      <c r="E12" s="3">
        <f>-100</f>
        <v>0</v>
      </c>
      <c r="F12" s="3">
        <f>-100</f>
        <v>0</v>
      </c>
      <c r="G12" s="3">
        <f>-100</f>
        <v>0</v>
      </c>
    </row>
    <row r="13" spans="1:7">
      <c r="A13" s="1" t="s">
        <v>16</v>
      </c>
      <c r="B13" s="4">
        <f>SUM(B9,B11,B12)</f>
        <v>0</v>
      </c>
      <c r="C13" s="4">
        <f>SUM(C9,C11,C12)</f>
        <v>0</v>
      </c>
      <c r="D13" s="4">
        <f>SUM(D9,D11,D12)</f>
        <v>0</v>
      </c>
      <c r="E13" s="4">
        <f>SUM(E9,E11,E12)</f>
        <v>0</v>
      </c>
      <c r="F13" s="4">
        <f>SUM(F9,F11,F12)</f>
        <v>0</v>
      </c>
      <c r="G13" s="4">
        <f>SUM(G9,G11,G12)</f>
        <v>0</v>
      </c>
    </row>
    <row r="14" spans="1:7">
      <c r="A14" s="1" t="s">
        <v>11</v>
      </c>
      <c r="B14" s="2">
        <f>B13/B4</f>
        <v>0</v>
      </c>
      <c r="C14" s="2">
        <f>C13/C4</f>
        <v>0</v>
      </c>
      <c r="D14" s="2">
        <f>D13/D4</f>
        <v>0</v>
      </c>
      <c r="E14" s="2">
        <f>E13/E4</f>
        <v>0</v>
      </c>
      <c r="F14" s="2">
        <f>F13/F4</f>
        <v>0</v>
      </c>
      <c r="G14" s="2">
        <f>G13/G4</f>
        <v>0</v>
      </c>
    </row>
    <row r="15" spans="1:7">
      <c r="A15" s="1" t="s">
        <v>17</v>
      </c>
      <c r="B15" s="3">
        <f>-25</f>
        <v>0</v>
      </c>
      <c r="C15" s="3">
        <f>-25</f>
        <v>0</v>
      </c>
      <c r="D15" s="3">
        <f>-25</f>
        <v>0</v>
      </c>
      <c r="E15" s="3">
        <f>-25</f>
        <v>0</v>
      </c>
      <c r="F15" s="3">
        <f>-25</f>
        <v>0</v>
      </c>
      <c r="G15" s="3">
        <f>-25</f>
        <v>0</v>
      </c>
    </row>
    <row r="16" spans="1:7">
      <c r="A16" s="1" t="s">
        <v>18</v>
      </c>
      <c r="B16" s="4">
        <f>B13+B15</f>
        <v>0</v>
      </c>
      <c r="C16" s="4">
        <f>C13+C15</f>
        <v>0</v>
      </c>
      <c r="D16" s="4">
        <f>D13+D15</f>
        <v>0</v>
      </c>
      <c r="E16" s="4">
        <f>E13+E15</f>
        <v>0</v>
      </c>
      <c r="F16" s="4">
        <f>F13+F15</f>
        <v>0</v>
      </c>
      <c r="G16" s="4">
        <f>G13+G15</f>
        <v>0</v>
      </c>
    </row>
    <row r="17" spans="1:7">
      <c r="A17" s="1" t="s">
        <v>19</v>
      </c>
      <c r="B17" s="3">
        <f>-B16*0.20</f>
        <v>0</v>
      </c>
      <c r="C17" s="3">
        <f>-C16*0.20</f>
        <v>0</v>
      </c>
      <c r="D17" s="3">
        <f>-D16*0.20</f>
        <v>0</v>
      </c>
      <c r="E17" s="3">
        <f>-E16*0.20</f>
        <v>0</v>
      </c>
      <c r="F17" s="3">
        <f>-F16*0.20</f>
        <v>0</v>
      </c>
      <c r="G17" s="3">
        <f>-G16*0.20</f>
        <v>0</v>
      </c>
    </row>
    <row r="18" spans="1:7">
      <c r="A18" s="1" t="s">
        <v>20</v>
      </c>
      <c r="B18" s="4">
        <f>SUM(B16:B17)</f>
        <v>0</v>
      </c>
      <c r="C18" s="4">
        <f>SUM(C16:C17)</f>
        <v>0</v>
      </c>
      <c r="D18" s="4">
        <f>SUM(D16:D17)</f>
        <v>0</v>
      </c>
      <c r="E18" s="4">
        <f>SUM(E16:E17)</f>
        <v>0</v>
      </c>
      <c r="F18" s="4">
        <f>SUM(F16:F17)</f>
        <v>0</v>
      </c>
      <c r="G18" s="4">
        <f>SUM(G16:G17)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2026-01-17T04:29:06Z</dcterms:created>
  <dcterms:modified xsi:type="dcterms:W3CDTF">2026-01-17T04:29:06Z</dcterms:modified>
</cp:coreProperties>
</file>